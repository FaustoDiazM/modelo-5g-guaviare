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a010dffa7fd1d50/Escritorio/papeles Fausto/MAESTRIA/"/>
    </mc:Choice>
  </mc:AlternateContent>
  <xr:revisionPtr revIDLastSave="1" documentId="8_{E26AF1CD-7976-4D64-8F44-3B823973F661}" xr6:coauthVersionLast="47" xr6:coauthVersionMax="47" xr10:uidLastSave="{4054B190-702B-457F-9270-E46537A6EDE3}"/>
  <bookViews>
    <workbookView xWindow="-120" yWindow="-120" windowWidth="20730" windowHeight="11040" firstSheet="2" activeTab="6" xr2:uid="{00000000-000D-0000-FFFF-FFFF00000000}"/>
  </bookViews>
  <sheets>
    <sheet name="Despliegue_Zonas" sheetId="1" r:id="rId1"/>
    <sheet name="Dim_Zonas" sheetId="2" r:id="rId2"/>
    <sheet name="Dim_Geografia" sheetId="3" r:id="rId3"/>
    <sheet name="Dim_Socioeconomica" sheetId="4" r:id="rId4"/>
    <sheet name="Dim_Protocolos" sheetId="5" r:id="rId5"/>
    <sheet name="Dim_Escenarios" sheetId="6" r:id="rId6"/>
    <sheet name="Tabla_KP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E11" i="3"/>
</calcChain>
</file>

<file path=xl/sharedStrings.xml><?xml version="1.0" encoding="utf-8"?>
<sst xmlns="http://schemas.openxmlformats.org/spreadsheetml/2006/main" count="242" uniqueCount="123">
  <si>
    <t>TABLA DE HECHOS — Despliegue_Zonas</t>
  </si>
  <si>
    <t>ID_Zona (FK)</t>
  </si>
  <si>
    <t>ID_Protocolo (FK)</t>
  </si>
  <si>
    <t>Cobertura_km</t>
  </si>
  <si>
    <t>Latencia_ms</t>
  </si>
  <si>
    <t>OPEX_COP_mes</t>
  </si>
  <si>
    <t>Disponibilidad_%</t>
  </si>
  <si>
    <t>Nivel_Criticidad</t>
  </si>
  <si>
    <t>Z001</t>
  </si>
  <si>
    <t>P1</t>
  </si>
  <si>
    <t>Alta</t>
  </si>
  <si>
    <t>Z002</t>
  </si>
  <si>
    <t>Z003</t>
  </si>
  <si>
    <t>P2</t>
  </si>
  <si>
    <t>Z004</t>
  </si>
  <si>
    <t>Z005</t>
  </si>
  <si>
    <t>P3</t>
  </si>
  <si>
    <t>Media</t>
  </si>
  <si>
    <t>Z006</t>
  </si>
  <si>
    <t>Z007</t>
  </si>
  <si>
    <t>P4</t>
  </si>
  <si>
    <t>Baja</t>
  </si>
  <si>
    <t>Z008</t>
  </si>
  <si>
    <t>DIMENSIÓN — Dim_Zonas</t>
  </si>
  <si>
    <t>ID_Zona (PK)</t>
  </si>
  <si>
    <t>Nombre_Zona</t>
  </si>
  <si>
    <t>Densidad_hab_km2</t>
  </si>
  <si>
    <t>Acceso_Vial</t>
  </si>
  <si>
    <t>Energia_Disponible</t>
  </si>
  <si>
    <t>Protocolo_Asignado</t>
  </si>
  <si>
    <t>Veredas Amazónicas Norte</t>
  </si>
  <si>
    <t>No</t>
  </si>
  <si>
    <t>Solar</t>
  </si>
  <si>
    <t>Corregimiento La Fuga</t>
  </si>
  <si>
    <t>Centro de Salud Calamar</t>
  </si>
  <si>
    <t>Solar/Diésel</t>
  </si>
  <si>
    <t>Escuela Rural El Progreso</t>
  </si>
  <si>
    <t>El Retorno periferia</t>
  </si>
  <si>
    <t>Parcial</t>
  </si>
  <si>
    <t>Microred</t>
  </si>
  <si>
    <t>Miraflores rural</t>
  </si>
  <si>
    <t>Casco urbano San José</t>
  </si>
  <si>
    <t>Sí</t>
  </si>
  <si>
    <t>Red nacional</t>
  </si>
  <si>
    <t>El Capricho</t>
  </si>
  <si>
    <t>DIMENSIÓN — Dim_Geografia</t>
  </si>
  <si>
    <t>Topografia</t>
  </si>
  <si>
    <t>Densidad_Vegetacion</t>
  </si>
  <si>
    <t>Perdida_Senal_%</t>
  </si>
  <si>
    <t>Distancia_Nodos_km</t>
  </si>
  <si>
    <t>Zona_Inundable</t>
  </si>
  <si>
    <t>Llanura selvática</t>
  </si>
  <si>
    <t>Colinas bajas</t>
  </si>
  <si>
    <t>Ribera fluvial</t>
  </si>
  <si>
    <t>Media-Alta</t>
  </si>
  <si>
    <t>Sabana de transición</t>
  </si>
  <si>
    <t>Valle interfluvial</t>
  </si>
  <si>
    <t>Piedemonte</t>
  </si>
  <si>
    <t>Media-Baja</t>
  </si>
  <si>
    <t>Zona urbana</t>
  </si>
  <si>
    <t>Periurbano</t>
  </si>
  <si>
    <t>DIMENSIÓN — Dim_Socioeconomica</t>
  </si>
  <si>
    <t>Poblacion_est</t>
  </si>
  <si>
    <t>Servicios_Esenciales</t>
  </si>
  <si>
    <t>Indice_Vulnerabilidad</t>
  </si>
  <si>
    <t>Comunidades_Indigenas</t>
  </si>
  <si>
    <t>Criticidad_Nivel</t>
  </si>
  <si>
    <t>Sin servicios</t>
  </si>
  <si>
    <t>Puesto de salud</t>
  </si>
  <si>
    <t>Escuela rural</t>
  </si>
  <si>
    <t>Escuela + salud</t>
  </si>
  <si>
    <t>Todos</t>
  </si>
  <si>
    <t>Mayoría</t>
  </si>
  <si>
    <t>DIMENSIÓN — Dim_Protocolos</t>
  </si>
  <si>
    <t>ID_Protocolo (PK)</t>
  </si>
  <si>
    <t>Nombre_Protocolo</t>
  </si>
  <si>
    <t>Tipo_Nodo</t>
  </si>
  <si>
    <t>Cobertura_Meta_km</t>
  </si>
  <si>
    <t>Latencia_Meta_ms</t>
  </si>
  <si>
    <t>Disponibilidad_Meta_%</t>
  </si>
  <si>
    <t>OPEX_Nivel</t>
  </si>
  <si>
    <t>Nodo autónomo solar</t>
  </si>
  <si>
    <t>Small cell off-grid</t>
  </si>
  <si>
    <t>Bajo</t>
  </si>
  <si>
    <t>Backhaul satelital LEO</t>
  </si>
  <si>
    <t>Small cell + satélite</t>
  </si>
  <si>
    <t>Medio</t>
  </si>
  <si>
    <t>Open RAN distribuido</t>
  </si>
  <si>
    <t>vRAN descentralizado</t>
  </si>
  <si>
    <t>Medio-bajo</t>
  </si>
  <si>
    <t>Híbrida fibra + RF</t>
  </si>
  <si>
    <t>Macro cell + microondas</t>
  </si>
  <si>
    <t>Alto</t>
  </si>
  <si>
    <t>DIMENSIÓN — Dim_Escenarios</t>
  </si>
  <si>
    <t>ID_Escenario (PK)</t>
  </si>
  <si>
    <t>Tipo_Escenario</t>
  </si>
  <si>
    <t>Descripcion</t>
  </si>
  <si>
    <t>Cobertura_base_%</t>
  </si>
  <si>
    <t>Latencia_base_ms</t>
  </si>
  <si>
    <t>OPEX_base_COP</t>
  </si>
  <si>
    <t>E001</t>
  </si>
  <si>
    <t>Tradicional</t>
  </si>
  <si>
    <t>Modelo macro cell centralizado urbano aplicado en zona rural</t>
  </si>
  <si>
    <t>E002</t>
  </si>
  <si>
    <t>Propuesto</t>
  </si>
  <si>
    <t>Estrategia tecnológica adaptada — Nodo autónomo solar (P1)</t>
  </si>
  <si>
    <t>E003</t>
  </si>
  <si>
    <t>Estrategia tecnológica adaptada — Backhaul satelital LEO (P2)</t>
  </si>
  <si>
    <t>E004</t>
  </si>
  <si>
    <t>Estrategia tecnológica adaptada — Open RAN distribuido (P3)</t>
  </si>
  <si>
    <t>E005</t>
  </si>
  <si>
    <t>Estrategia tecnológica adaptada — Híbrida fibra + RF (P4)</t>
  </si>
  <si>
    <t>TABLA DE PARÁMETROS — KPIs del Modelo</t>
  </si>
  <si>
    <t>ID_Escenario (FK)</t>
  </si>
  <si>
    <t>KPI_Cobertura_%</t>
  </si>
  <si>
    <t>KPI_Latencia_ms</t>
  </si>
  <si>
    <t>KPI_Eficiencia_desp_%</t>
  </si>
  <si>
    <t>KPI_Disponibilidad_%</t>
  </si>
  <si>
    <t>KPI_Desempeno_tecnico</t>
  </si>
  <si>
    <t>Óptimo</t>
  </si>
  <si>
    <t>Aceptable</t>
  </si>
  <si>
    <t>Deficiente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</si>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</sst>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11"/>
      <color rgb="FF412402"/>
      <name val="Arial"/>
    </font>
    <font>
      <b/>
      <sz val="10"/>
      <color rgb="FF0F6E56"/>
      <name val="Arial"/>
    </font>
    <font>
      <b/>
      <sz val="10"/>
      <color rgb="FF633806"/>
      <name val="Arial"/>
    </font>
    <font>
      <b/>
      <sz val="10"/>
      <color rgb="FFA32D2D"/>
      <name val="Arial"/>
    </font>
  </fonts>
  <fills count="16">
    <fill>
      <patternFill patternType="none"/>
    </fill>
    <fill>
      <patternFill patternType="gray125"/>
    </fill>
    <fill>
      <patternFill patternType="solid">
        <fgColor rgb="FF7F77DD"/>
      </patternFill>
    </fill>
    <fill>
      <patternFill patternType="solid">
        <fgColor rgb="FFEEEDFE"/>
      </patternFill>
    </fill>
    <fill>
      <patternFill patternType="solid">
        <fgColor rgb="FFFFFFFF"/>
      </patternFill>
    </fill>
    <fill>
      <patternFill patternType="solid">
        <fgColor rgb="FF378ADD"/>
      </patternFill>
    </fill>
    <fill>
      <patternFill patternType="solid">
        <fgColor rgb="FFE6F1FB"/>
      </patternFill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EF9F27"/>
      </patternFill>
    </fill>
    <fill>
      <patternFill patternType="solid">
        <fgColor rgb="FFFAEEDA"/>
      </patternFill>
    </fill>
    <fill>
      <patternFill patternType="solid">
        <fgColor rgb="FFD85A30"/>
      </patternFill>
    </fill>
    <fill>
      <patternFill patternType="solid">
        <fgColor rgb="FFFAECE7"/>
      </patternFill>
    </fill>
    <fill>
      <patternFill patternType="solid">
        <fgColor rgb="FF639922"/>
      </patternFill>
    </fill>
    <fill>
      <patternFill patternType="solid">
        <fgColor rgb="FFEAF3DE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0" fillId="0" borderId="0" xfId="0"/>
    <xf numFmtId="0" fontId="1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13" customWidth="1"/>
    <col min="4" max="4" width="12" customWidth="1"/>
    <col min="5" max="6" width="16" customWidth="1"/>
    <col min="7" max="7" width="15" customWidth="1"/>
  </cols>
  <sheetData>
    <row r="1" spans="1:7" ht="20.100000000000001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35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9</v>
      </c>
      <c r="C3" s="3">
        <v>3.5</v>
      </c>
      <c r="D3" s="3">
        <v>24</v>
      </c>
      <c r="E3" s="3">
        <v>1100000</v>
      </c>
      <c r="F3" s="3">
        <v>95.2</v>
      </c>
      <c r="G3" s="3" t="s">
        <v>10</v>
      </c>
    </row>
    <row r="4" spans="1:7" x14ac:dyDescent="0.25">
      <c r="A4" s="4" t="s">
        <v>11</v>
      </c>
      <c r="B4" s="4" t="s">
        <v>9</v>
      </c>
      <c r="C4" s="5">
        <v>4</v>
      </c>
      <c r="D4" s="5">
        <v>22</v>
      </c>
      <c r="E4" s="5">
        <v>1200000</v>
      </c>
      <c r="F4" s="5">
        <v>96.5</v>
      </c>
      <c r="G4" s="5" t="s">
        <v>10</v>
      </c>
    </row>
    <row r="5" spans="1:7" x14ac:dyDescent="0.25">
      <c r="A5" s="2" t="s">
        <v>12</v>
      </c>
      <c r="B5" s="2" t="s">
        <v>13</v>
      </c>
      <c r="C5" s="3">
        <v>7</v>
      </c>
      <c r="D5" s="3">
        <v>38</v>
      </c>
      <c r="E5" s="3">
        <v>2500000</v>
      </c>
      <c r="F5" s="3">
        <v>91</v>
      </c>
      <c r="G5" s="3" t="s">
        <v>10</v>
      </c>
    </row>
    <row r="6" spans="1:7" x14ac:dyDescent="0.25">
      <c r="A6" s="4" t="s">
        <v>14</v>
      </c>
      <c r="B6" s="4" t="s">
        <v>13</v>
      </c>
      <c r="C6" s="5">
        <v>8.5</v>
      </c>
      <c r="D6" s="5">
        <v>35</v>
      </c>
      <c r="E6" s="5">
        <v>2800000</v>
      </c>
      <c r="F6" s="5">
        <v>92.3</v>
      </c>
      <c r="G6" s="5" t="s">
        <v>10</v>
      </c>
    </row>
    <row r="7" spans="1:7" x14ac:dyDescent="0.25">
      <c r="A7" s="2" t="s">
        <v>15</v>
      </c>
      <c r="B7" s="2" t="s">
        <v>16</v>
      </c>
      <c r="C7" s="3" t="s">
        <v>122</v>
      </c>
      <c r="D7" s="3">
        <v>21</v>
      </c>
      <c r="E7" s="3">
        <v>1750000</v>
      </c>
      <c r="F7" s="3">
        <v>94</v>
      </c>
      <c r="G7" s="3" t="s">
        <v>17</v>
      </c>
    </row>
    <row r="8" spans="1:7" x14ac:dyDescent="0.25">
      <c r="A8" s="4" t="s">
        <v>18</v>
      </c>
      <c r="B8" s="4" t="s">
        <v>16</v>
      </c>
      <c r="C8" s="5">
        <v>6</v>
      </c>
      <c r="D8" s="5">
        <v>19</v>
      </c>
      <c r="E8" s="5">
        <v>1800000</v>
      </c>
      <c r="F8" s="5">
        <v>93.5</v>
      </c>
      <c r="G8" s="5" t="s">
        <v>17</v>
      </c>
    </row>
    <row r="9" spans="1:7" x14ac:dyDescent="0.25">
      <c r="A9" s="2" t="s">
        <v>19</v>
      </c>
      <c r="B9" s="2" t="s">
        <v>20</v>
      </c>
      <c r="C9" s="3">
        <v>15</v>
      </c>
      <c r="D9" s="3">
        <v>9</v>
      </c>
      <c r="E9" s="3">
        <v>4500000</v>
      </c>
      <c r="F9" s="3">
        <v>99.1</v>
      </c>
      <c r="G9" s="3" t="s">
        <v>21</v>
      </c>
    </row>
    <row r="10" spans="1:7" x14ac:dyDescent="0.25">
      <c r="A10" s="4" t="s">
        <v>22</v>
      </c>
      <c r="B10" s="4" t="s">
        <v>20</v>
      </c>
      <c r="C10" s="5">
        <v>18</v>
      </c>
      <c r="D10" s="5">
        <v>8</v>
      </c>
      <c r="E10" s="5">
        <v>5000000</v>
      </c>
      <c r="F10" s="5">
        <v>99.5</v>
      </c>
      <c r="G10" s="5" t="s">
        <v>21</v>
      </c>
    </row>
    <row r="11" spans="1:7" x14ac:dyDescent="0.25">
      <c r="C11">
        <f>SUM(C3:C10)</f>
        <v>62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17" customWidth="1"/>
    <col min="4" max="4" width="14" customWidth="1"/>
    <col min="5" max="6" width="18" customWidth="1"/>
  </cols>
  <sheetData>
    <row r="1" spans="1:6" ht="15.75" x14ac:dyDescent="0.25">
      <c r="A1" s="31" t="s">
        <v>23</v>
      </c>
      <c r="B1" s="28"/>
      <c r="C1" s="28"/>
      <c r="D1" s="28"/>
      <c r="E1" s="28"/>
      <c r="F1" s="28"/>
    </row>
    <row r="2" spans="1:6" ht="35.1" customHeight="1" x14ac:dyDescent="0.2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</row>
    <row r="3" spans="1:6" x14ac:dyDescent="0.25">
      <c r="A3" s="7" t="s">
        <v>8</v>
      </c>
      <c r="B3" s="7" t="s">
        <v>30</v>
      </c>
      <c r="C3" s="8">
        <v>0.3</v>
      </c>
      <c r="D3" s="8" t="s">
        <v>31</v>
      </c>
      <c r="E3" s="8" t="s">
        <v>32</v>
      </c>
      <c r="F3" s="8" t="s">
        <v>9</v>
      </c>
    </row>
    <row r="4" spans="1:6" x14ac:dyDescent="0.25">
      <c r="A4" s="4" t="s">
        <v>11</v>
      </c>
      <c r="B4" s="4" t="s">
        <v>33</v>
      </c>
      <c r="C4" s="5">
        <v>0.4</v>
      </c>
      <c r="D4" s="5" t="s">
        <v>31</v>
      </c>
      <c r="E4" s="5" t="s">
        <v>32</v>
      </c>
      <c r="F4" s="5" t="s">
        <v>9</v>
      </c>
    </row>
    <row r="5" spans="1:6" x14ac:dyDescent="0.25">
      <c r="A5" s="7" t="s">
        <v>12</v>
      </c>
      <c r="B5" s="7" t="s">
        <v>34</v>
      </c>
      <c r="C5" s="8">
        <v>0.6</v>
      </c>
      <c r="D5" s="8" t="s">
        <v>31</v>
      </c>
      <c r="E5" s="8" t="s">
        <v>35</v>
      </c>
      <c r="F5" s="8" t="s">
        <v>13</v>
      </c>
    </row>
    <row r="6" spans="1:6" x14ac:dyDescent="0.25">
      <c r="A6" s="4" t="s">
        <v>14</v>
      </c>
      <c r="B6" s="4" t="s">
        <v>36</v>
      </c>
      <c r="C6" s="5">
        <v>0.8</v>
      </c>
      <c r="D6" s="5" t="s">
        <v>31</v>
      </c>
      <c r="E6" s="5" t="s">
        <v>35</v>
      </c>
      <c r="F6" s="5" t="s">
        <v>13</v>
      </c>
    </row>
    <row r="7" spans="1:6" x14ac:dyDescent="0.25">
      <c r="A7" s="7" t="s">
        <v>15</v>
      </c>
      <c r="B7" s="7" t="s">
        <v>37</v>
      </c>
      <c r="C7" s="8">
        <v>2.5</v>
      </c>
      <c r="D7" s="8" t="s">
        <v>38</v>
      </c>
      <c r="E7" s="8" t="s">
        <v>39</v>
      </c>
      <c r="F7" s="8" t="s">
        <v>16</v>
      </c>
    </row>
    <row r="8" spans="1:6" x14ac:dyDescent="0.25">
      <c r="A8" s="4" t="s">
        <v>18</v>
      </c>
      <c r="B8" s="4" t="s">
        <v>40</v>
      </c>
      <c r="C8" s="5">
        <v>3.1</v>
      </c>
      <c r="D8" s="5" t="s">
        <v>38</v>
      </c>
      <c r="E8" s="5" t="s">
        <v>39</v>
      </c>
      <c r="F8" s="5" t="s">
        <v>16</v>
      </c>
    </row>
    <row r="9" spans="1:6" x14ac:dyDescent="0.25">
      <c r="A9" s="7" t="s">
        <v>19</v>
      </c>
      <c r="B9" s="7" t="s">
        <v>41</v>
      </c>
      <c r="C9" s="8">
        <v>8.1999999999999993</v>
      </c>
      <c r="D9" s="8" t="s">
        <v>42</v>
      </c>
      <c r="E9" s="8" t="s">
        <v>43</v>
      </c>
      <c r="F9" s="8" t="s">
        <v>20</v>
      </c>
    </row>
    <row r="10" spans="1:6" x14ac:dyDescent="0.25">
      <c r="A10" s="4" t="s">
        <v>22</v>
      </c>
      <c r="B10" s="4" t="s">
        <v>44</v>
      </c>
      <c r="C10" s="5">
        <v>6.5</v>
      </c>
      <c r="D10" s="5" t="s">
        <v>42</v>
      </c>
      <c r="E10" s="5" t="s">
        <v>43</v>
      </c>
      <c r="F10" s="5" t="s">
        <v>20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14" customWidth="1"/>
    <col min="2" max="3" width="20" customWidth="1"/>
    <col min="4" max="4" width="15" customWidth="1"/>
    <col min="5" max="5" width="18" customWidth="1"/>
    <col min="6" max="6" width="14" customWidth="1"/>
  </cols>
  <sheetData>
    <row r="1" spans="1:6" ht="15.75" x14ac:dyDescent="0.25">
      <c r="A1" s="32" t="s">
        <v>45</v>
      </c>
      <c r="B1" s="28"/>
      <c r="C1" s="28"/>
      <c r="D1" s="28"/>
      <c r="E1" s="28"/>
      <c r="F1" s="28"/>
    </row>
    <row r="2" spans="1:6" ht="35.1" customHeight="1" x14ac:dyDescent="0.25">
      <c r="A2" s="9" t="s">
        <v>1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50</v>
      </c>
    </row>
    <row r="3" spans="1:6" x14ac:dyDescent="0.25">
      <c r="A3" s="10" t="s">
        <v>8</v>
      </c>
      <c r="B3" s="10" t="s">
        <v>51</v>
      </c>
      <c r="C3" s="11" t="s">
        <v>10</v>
      </c>
      <c r="D3" s="11">
        <v>68</v>
      </c>
      <c r="E3" s="11">
        <v>3</v>
      </c>
      <c r="F3" s="11" t="s">
        <v>42</v>
      </c>
    </row>
    <row r="4" spans="1:6" x14ac:dyDescent="0.25">
      <c r="A4" s="4" t="s">
        <v>11</v>
      </c>
      <c r="B4" s="4" t="s">
        <v>52</v>
      </c>
      <c r="C4" s="5" t="s">
        <v>10</v>
      </c>
      <c r="D4" s="5">
        <v>65</v>
      </c>
      <c r="E4" s="5">
        <v>3.5</v>
      </c>
      <c r="F4" s="5" t="s">
        <v>31</v>
      </c>
    </row>
    <row r="5" spans="1:6" x14ac:dyDescent="0.25">
      <c r="A5" s="10" t="s">
        <v>12</v>
      </c>
      <c r="B5" s="10" t="s">
        <v>53</v>
      </c>
      <c r="C5" s="11" t="s">
        <v>54</v>
      </c>
      <c r="D5" s="11">
        <v>55</v>
      </c>
      <c r="E5" s="11">
        <v>6.5</v>
      </c>
      <c r="F5" s="11" t="s">
        <v>42</v>
      </c>
    </row>
    <row r="6" spans="1:6" x14ac:dyDescent="0.25">
      <c r="A6" s="4" t="s">
        <v>14</v>
      </c>
      <c r="B6" s="4" t="s">
        <v>55</v>
      </c>
      <c r="C6" s="5" t="s">
        <v>17</v>
      </c>
      <c r="D6" s="5">
        <v>45</v>
      </c>
      <c r="E6" s="5">
        <v>7</v>
      </c>
      <c r="F6" s="5" t="s">
        <v>31</v>
      </c>
    </row>
    <row r="7" spans="1:6" x14ac:dyDescent="0.25">
      <c r="A7" s="10" t="s">
        <v>15</v>
      </c>
      <c r="B7" s="10" t="s">
        <v>56</v>
      </c>
      <c r="C7" s="11" t="s">
        <v>17</v>
      </c>
      <c r="D7" s="11">
        <v>40</v>
      </c>
      <c r="E7" s="11">
        <v>5</v>
      </c>
      <c r="F7" s="11" t="s">
        <v>31</v>
      </c>
    </row>
    <row r="8" spans="1:6" x14ac:dyDescent="0.25">
      <c r="A8" s="4" t="s">
        <v>18</v>
      </c>
      <c r="B8" s="4" t="s">
        <v>57</v>
      </c>
      <c r="C8" s="5" t="s">
        <v>58</v>
      </c>
      <c r="D8" s="5">
        <v>35</v>
      </c>
      <c r="E8" s="5">
        <v>6</v>
      </c>
      <c r="F8" s="5" t="s">
        <v>31</v>
      </c>
    </row>
    <row r="9" spans="1:6" x14ac:dyDescent="0.25">
      <c r="A9" s="10" t="s">
        <v>19</v>
      </c>
      <c r="B9" s="10" t="s">
        <v>59</v>
      </c>
      <c r="C9" s="11" t="s">
        <v>21</v>
      </c>
      <c r="D9" s="11">
        <v>15</v>
      </c>
      <c r="E9" s="11">
        <v>15</v>
      </c>
      <c r="F9" s="11" t="s">
        <v>31</v>
      </c>
    </row>
    <row r="10" spans="1:6" x14ac:dyDescent="0.25">
      <c r="A10" s="4" t="s">
        <v>22</v>
      </c>
      <c r="B10" s="4" t="s">
        <v>60</v>
      </c>
      <c r="C10" s="5" t="s">
        <v>21</v>
      </c>
      <c r="D10" s="5">
        <v>18</v>
      </c>
      <c r="E10" s="5">
        <v>17</v>
      </c>
      <c r="F10" s="5" t="s">
        <v>31</v>
      </c>
    </row>
    <row r="11" spans="1:6" x14ac:dyDescent="0.25">
      <c r="E11">
        <f>SUM(E3:E10)</f>
        <v>63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A11" sqref="A11:XFD12"/>
    </sheetView>
  </sheetViews>
  <sheetFormatPr baseColWidth="10" defaultColWidth="9.140625" defaultRowHeight="15" x14ac:dyDescent="0.25"/>
  <cols>
    <col min="1" max="2" width="14" customWidth="1"/>
    <col min="3" max="3" width="22" customWidth="1"/>
    <col min="4" max="5" width="20" customWidth="1"/>
    <col min="6" max="6" width="15" customWidth="1"/>
  </cols>
  <sheetData>
    <row r="1" spans="1:6" ht="15.75" x14ac:dyDescent="0.25">
      <c r="A1" s="31" t="s">
        <v>61</v>
      </c>
      <c r="B1" s="28"/>
      <c r="C1" s="28"/>
      <c r="D1" s="28"/>
      <c r="E1" s="28"/>
      <c r="F1" s="28"/>
    </row>
    <row r="2" spans="1:6" ht="35.1" customHeight="1" x14ac:dyDescent="0.25">
      <c r="A2" s="6" t="s">
        <v>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</row>
    <row r="3" spans="1:6" x14ac:dyDescent="0.25">
      <c r="A3" s="7" t="s">
        <v>8</v>
      </c>
      <c r="B3" s="8">
        <v>120</v>
      </c>
      <c r="C3" s="7" t="s">
        <v>67</v>
      </c>
      <c r="D3" s="8">
        <v>9.1999999999999993</v>
      </c>
      <c r="E3" s="8" t="s">
        <v>42</v>
      </c>
      <c r="F3" s="8" t="s">
        <v>10</v>
      </c>
    </row>
    <row r="4" spans="1:6" x14ac:dyDescent="0.25">
      <c r="A4" s="4" t="s">
        <v>11</v>
      </c>
      <c r="B4" s="5">
        <v>85</v>
      </c>
      <c r="C4" s="4" t="s">
        <v>67</v>
      </c>
      <c r="D4" s="5">
        <v>8.8000000000000007</v>
      </c>
      <c r="E4" s="5" t="s">
        <v>42</v>
      </c>
      <c r="F4" s="5" t="s">
        <v>10</v>
      </c>
    </row>
    <row r="5" spans="1:6" x14ac:dyDescent="0.25">
      <c r="A5" s="7" t="s">
        <v>12</v>
      </c>
      <c r="B5" s="8">
        <v>340</v>
      </c>
      <c r="C5" s="7" t="s">
        <v>68</v>
      </c>
      <c r="D5" s="8">
        <v>7.5</v>
      </c>
      <c r="E5" s="8" t="s">
        <v>31</v>
      </c>
      <c r="F5" s="8" t="s">
        <v>10</v>
      </c>
    </row>
    <row r="6" spans="1:6" x14ac:dyDescent="0.25">
      <c r="A6" s="4" t="s">
        <v>14</v>
      </c>
      <c r="B6" s="5">
        <v>210</v>
      </c>
      <c r="C6" s="4" t="s">
        <v>69</v>
      </c>
      <c r="D6" s="5">
        <v>7.1</v>
      </c>
      <c r="E6" s="5" t="s">
        <v>31</v>
      </c>
      <c r="F6" s="5" t="s">
        <v>10</v>
      </c>
    </row>
    <row r="7" spans="1:6" x14ac:dyDescent="0.25">
      <c r="A7" s="7" t="s">
        <v>15</v>
      </c>
      <c r="B7" s="8">
        <v>1200</v>
      </c>
      <c r="C7" s="7" t="s">
        <v>70</v>
      </c>
      <c r="D7" s="8">
        <v>5.4</v>
      </c>
      <c r="E7" s="8" t="s">
        <v>31</v>
      </c>
      <c r="F7" s="8" t="s">
        <v>17</v>
      </c>
    </row>
    <row r="8" spans="1:6" x14ac:dyDescent="0.25">
      <c r="A8" s="4" t="s">
        <v>18</v>
      </c>
      <c r="B8" s="5">
        <v>980</v>
      </c>
      <c r="C8" s="4" t="s">
        <v>70</v>
      </c>
      <c r="D8" s="5">
        <v>4.9000000000000004</v>
      </c>
      <c r="E8" s="5" t="s">
        <v>31</v>
      </c>
      <c r="F8" s="5" t="s">
        <v>17</v>
      </c>
    </row>
    <row r="9" spans="1:6" x14ac:dyDescent="0.25">
      <c r="A9" s="7" t="s">
        <v>19</v>
      </c>
      <c r="B9" s="8">
        <v>45000</v>
      </c>
      <c r="C9" s="7" t="s">
        <v>71</v>
      </c>
      <c r="D9" s="8">
        <v>2.1</v>
      </c>
      <c r="E9" s="8" t="s">
        <v>31</v>
      </c>
      <c r="F9" s="8" t="s">
        <v>21</v>
      </c>
    </row>
    <row r="10" spans="1:6" x14ac:dyDescent="0.25">
      <c r="A10" s="4" t="s">
        <v>22</v>
      </c>
      <c r="B10" s="5">
        <v>8500</v>
      </c>
      <c r="C10" s="4" t="s">
        <v>72</v>
      </c>
      <c r="D10" s="5">
        <v>3.2</v>
      </c>
      <c r="E10" s="5" t="s">
        <v>31</v>
      </c>
      <c r="F10" s="5" t="s">
        <v>21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16" customWidth="1"/>
    <col min="2" max="3" width="24" customWidth="1"/>
    <col min="4" max="5" width="16" customWidth="1"/>
    <col min="6" max="6" width="20" customWidth="1"/>
    <col min="7" max="7" width="12" customWidth="1"/>
  </cols>
  <sheetData>
    <row r="1" spans="1:7" ht="15.75" x14ac:dyDescent="0.25">
      <c r="A1" s="33" t="s">
        <v>73</v>
      </c>
      <c r="B1" s="28"/>
      <c r="C1" s="28"/>
      <c r="D1" s="28"/>
      <c r="E1" s="28"/>
      <c r="F1" s="28"/>
      <c r="G1" s="28"/>
    </row>
    <row r="2" spans="1:7" ht="35.1" customHeight="1" x14ac:dyDescent="0.25">
      <c r="A2" s="12" t="s">
        <v>74</v>
      </c>
      <c r="B2" s="12" t="s">
        <v>75</v>
      </c>
      <c r="C2" s="12" t="s">
        <v>76</v>
      </c>
      <c r="D2" s="12" t="s">
        <v>77</v>
      </c>
      <c r="E2" s="12" t="s">
        <v>78</v>
      </c>
      <c r="F2" s="12" t="s">
        <v>79</v>
      </c>
      <c r="G2" s="12" t="s">
        <v>80</v>
      </c>
    </row>
    <row r="3" spans="1:7" x14ac:dyDescent="0.25">
      <c r="A3" s="13" t="s">
        <v>9</v>
      </c>
      <c r="B3" s="13" t="s">
        <v>81</v>
      </c>
      <c r="C3" s="13" t="s">
        <v>82</v>
      </c>
      <c r="D3" s="14">
        <v>5</v>
      </c>
      <c r="E3" s="14">
        <v>25</v>
      </c>
      <c r="F3" s="14">
        <v>95</v>
      </c>
      <c r="G3" s="14" t="s">
        <v>83</v>
      </c>
    </row>
    <row r="4" spans="1:7" x14ac:dyDescent="0.25">
      <c r="A4" s="4" t="s">
        <v>13</v>
      </c>
      <c r="B4" s="4" t="s">
        <v>84</v>
      </c>
      <c r="C4" s="4" t="s">
        <v>85</v>
      </c>
      <c r="D4" s="5">
        <v>10</v>
      </c>
      <c r="E4" s="5">
        <v>40</v>
      </c>
      <c r="F4" s="5">
        <v>90</v>
      </c>
      <c r="G4" s="5" t="s">
        <v>86</v>
      </c>
    </row>
    <row r="5" spans="1:7" x14ac:dyDescent="0.25">
      <c r="A5" s="13" t="s">
        <v>16</v>
      </c>
      <c r="B5" s="13" t="s">
        <v>87</v>
      </c>
      <c r="C5" s="13" t="s">
        <v>88</v>
      </c>
      <c r="D5" s="14">
        <v>8</v>
      </c>
      <c r="E5" s="14">
        <v>20</v>
      </c>
      <c r="F5" s="14">
        <v>92</v>
      </c>
      <c r="G5" s="14" t="s">
        <v>89</v>
      </c>
    </row>
    <row r="6" spans="1:7" x14ac:dyDescent="0.25">
      <c r="A6" s="4" t="s">
        <v>20</v>
      </c>
      <c r="B6" s="4" t="s">
        <v>90</v>
      </c>
      <c r="C6" s="4" t="s">
        <v>91</v>
      </c>
      <c r="D6" s="5">
        <v>20</v>
      </c>
      <c r="E6" s="5">
        <v>10</v>
      </c>
      <c r="F6" s="5">
        <v>99</v>
      </c>
      <c r="G6" s="5" t="s">
        <v>92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F7" sqref="A2:F7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46" customWidth="1"/>
    <col min="4" max="5" width="16" customWidth="1"/>
    <col min="6" max="6" width="18" customWidth="1"/>
  </cols>
  <sheetData>
    <row r="1" spans="1:6" ht="15.75" x14ac:dyDescent="0.25">
      <c r="A1" s="34" t="s">
        <v>93</v>
      </c>
      <c r="B1" s="28"/>
      <c r="C1" s="28"/>
      <c r="D1" s="28"/>
      <c r="E1" s="28"/>
      <c r="F1" s="28"/>
    </row>
    <row r="2" spans="1:6" ht="35.1" customHeight="1" x14ac:dyDescent="0.25">
      <c r="A2" s="15" t="s">
        <v>94</v>
      </c>
      <c r="B2" s="15" t="s">
        <v>95</v>
      </c>
      <c r="C2" s="15" t="s">
        <v>96</v>
      </c>
      <c r="D2" s="15" t="s">
        <v>97</v>
      </c>
      <c r="E2" s="15" t="s">
        <v>98</v>
      </c>
      <c r="F2" s="15" t="s">
        <v>99</v>
      </c>
    </row>
    <row r="3" spans="1:6" ht="25.5" x14ac:dyDescent="0.25">
      <c r="A3" s="16" t="s">
        <v>100</v>
      </c>
      <c r="B3" s="16" t="s">
        <v>101</v>
      </c>
      <c r="C3" s="16" t="s">
        <v>102</v>
      </c>
      <c r="D3" s="17">
        <v>22</v>
      </c>
      <c r="E3" s="17">
        <v>45</v>
      </c>
      <c r="F3" s="17">
        <v>5500000</v>
      </c>
    </row>
    <row r="4" spans="1:6" ht="25.5" x14ac:dyDescent="0.25">
      <c r="A4" s="4" t="s">
        <v>103</v>
      </c>
      <c r="B4" s="4" t="s">
        <v>104</v>
      </c>
      <c r="C4" s="4" t="s">
        <v>105</v>
      </c>
      <c r="D4" s="5">
        <v>95</v>
      </c>
      <c r="E4" s="5">
        <v>22</v>
      </c>
      <c r="F4" s="5">
        <v>1200000</v>
      </c>
    </row>
    <row r="5" spans="1:6" ht="25.5" x14ac:dyDescent="0.25">
      <c r="A5" s="16" t="s">
        <v>106</v>
      </c>
      <c r="B5" s="16" t="s">
        <v>104</v>
      </c>
      <c r="C5" s="16" t="s">
        <v>107</v>
      </c>
      <c r="D5" s="17">
        <v>90</v>
      </c>
      <c r="E5" s="17">
        <v>38</v>
      </c>
      <c r="F5" s="17">
        <v>2500000</v>
      </c>
    </row>
    <row r="6" spans="1:6" ht="25.5" x14ac:dyDescent="0.25">
      <c r="A6" s="4" t="s">
        <v>108</v>
      </c>
      <c r="B6" s="4" t="s">
        <v>104</v>
      </c>
      <c r="C6" s="4" t="s">
        <v>109</v>
      </c>
      <c r="D6" s="5">
        <v>92</v>
      </c>
      <c r="E6" s="5">
        <v>19</v>
      </c>
      <c r="F6" s="5">
        <v>1800000</v>
      </c>
    </row>
    <row r="7" spans="1:6" ht="25.5" x14ac:dyDescent="0.25">
      <c r="A7" s="16" t="s">
        <v>110</v>
      </c>
      <c r="B7" s="16" t="s">
        <v>104</v>
      </c>
      <c r="C7" s="16" t="s">
        <v>111</v>
      </c>
      <c r="D7" s="17">
        <v>99</v>
      </c>
      <c r="E7" s="17">
        <v>9</v>
      </c>
      <c r="F7" s="17">
        <v>4500000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4" customWidth="1"/>
    <col min="2" max="3" width="16" customWidth="1"/>
    <col min="4" max="4" width="14" customWidth="1"/>
    <col min="5" max="6" width="20" customWidth="1"/>
    <col min="7" max="7" width="18" customWidth="1"/>
  </cols>
  <sheetData>
    <row r="1" spans="1:7" ht="15.75" x14ac:dyDescent="0.25">
      <c r="A1" s="29" t="s">
        <v>112</v>
      </c>
      <c r="B1" s="28"/>
      <c r="C1" s="28"/>
      <c r="D1" s="28"/>
      <c r="E1" s="28"/>
      <c r="F1" s="28"/>
      <c r="G1" s="28"/>
    </row>
    <row r="2" spans="1:7" ht="35.1" customHeight="1" x14ac:dyDescent="0.25">
      <c r="A2" s="18" t="s">
        <v>1</v>
      </c>
      <c r="B2" s="18" t="s">
        <v>113</v>
      </c>
      <c r="C2" s="18" t="s">
        <v>114</v>
      </c>
      <c r="D2" s="18" t="s">
        <v>115</v>
      </c>
      <c r="E2" s="18" t="s">
        <v>116</v>
      </c>
      <c r="F2" s="18" t="s">
        <v>117</v>
      </c>
      <c r="G2" s="18" t="s">
        <v>118</v>
      </c>
    </row>
    <row r="3" spans="1:7" x14ac:dyDescent="0.25">
      <c r="A3" s="19" t="s">
        <v>8</v>
      </c>
      <c r="B3" s="19" t="s">
        <v>103</v>
      </c>
      <c r="C3" s="20">
        <v>95.2</v>
      </c>
      <c r="D3" s="20">
        <v>24</v>
      </c>
      <c r="E3" s="20">
        <v>85.5</v>
      </c>
      <c r="F3" s="20">
        <v>95.2</v>
      </c>
      <c r="G3" s="21" t="s">
        <v>119</v>
      </c>
    </row>
    <row r="4" spans="1:7" x14ac:dyDescent="0.25">
      <c r="A4" s="4" t="s">
        <v>11</v>
      </c>
      <c r="B4" s="4" t="s">
        <v>103</v>
      </c>
      <c r="C4" s="5">
        <v>96.5</v>
      </c>
      <c r="D4" s="5">
        <v>22</v>
      </c>
      <c r="E4" s="5">
        <v>88</v>
      </c>
      <c r="F4" s="5">
        <v>96.5</v>
      </c>
      <c r="G4" s="22" t="s">
        <v>119</v>
      </c>
    </row>
    <row r="5" spans="1:7" x14ac:dyDescent="0.25">
      <c r="A5" s="19" t="s">
        <v>12</v>
      </c>
      <c r="B5" s="19" t="s">
        <v>106</v>
      </c>
      <c r="C5" s="20">
        <v>91</v>
      </c>
      <c r="D5" s="20">
        <v>38</v>
      </c>
      <c r="E5" s="20">
        <v>80</v>
      </c>
      <c r="F5" s="20">
        <v>91</v>
      </c>
      <c r="G5" s="23" t="s">
        <v>120</v>
      </c>
    </row>
    <row r="6" spans="1:7" x14ac:dyDescent="0.25">
      <c r="A6" s="4" t="s">
        <v>14</v>
      </c>
      <c r="B6" s="4" t="s">
        <v>106</v>
      </c>
      <c r="C6" s="5">
        <v>92.3</v>
      </c>
      <c r="D6" s="5">
        <v>35</v>
      </c>
      <c r="E6" s="5">
        <v>82</v>
      </c>
      <c r="F6" s="5">
        <v>92.3</v>
      </c>
      <c r="G6" s="24" t="s">
        <v>120</v>
      </c>
    </row>
    <row r="7" spans="1:7" x14ac:dyDescent="0.25">
      <c r="A7" s="19" t="s">
        <v>15</v>
      </c>
      <c r="B7" s="19" t="s">
        <v>108</v>
      </c>
      <c r="C7" s="20">
        <v>94</v>
      </c>
      <c r="D7" s="20">
        <v>21</v>
      </c>
      <c r="E7" s="20">
        <v>85</v>
      </c>
      <c r="F7" s="20">
        <v>94</v>
      </c>
      <c r="G7" s="21" t="s">
        <v>119</v>
      </c>
    </row>
    <row r="8" spans="1:7" x14ac:dyDescent="0.25">
      <c r="A8" s="4" t="s">
        <v>18</v>
      </c>
      <c r="B8" s="4" t="s">
        <v>108</v>
      </c>
      <c r="C8" s="5">
        <v>93.5</v>
      </c>
      <c r="D8" s="5">
        <v>19</v>
      </c>
      <c r="E8" s="5">
        <v>84</v>
      </c>
      <c r="F8" s="5">
        <v>93.5</v>
      </c>
      <c r="G8" s="22" t="s">
        <v>119</v>
      </c>
    </row>
    <row r="9" spans="1:7" x14ac:dyDescent="0.25">
      <c r="A9" s="19" t="s">
        <v>19</v>
      </c>
      <c r="B9" s="19" t="s">
        <v>110</v>
      </c>
      <c r="C9" s="20">
        <v>99.1</v>
      </c>
      <c r="D9" s="20">
        <v>9</v>
      </c>
      <c r="E9" s="20">
        <v>95</v>
      </c>
      <c r="F9" s="20">
        <v>99.1</v>
      </c>
      <c r="G9" s="21" t="s">
        <v>119</v>
      </c>
    </row>
    <row r="10" spans="1:7" x14ac:dyDescent="0.25">
      <c r="A10" s="4" t="s">
        <v>22</v>
      </c>
      <c r="B10" s="4" t="s">
        <v>110</v>
      </c>
      <c r="C10" s="5">
        <v>99.5</v>
      </c>
      <c r="D10" s="5">
        <v>8</v>
      </c>
      <c r="E10" s="5">
        <v>96.5</v>
      </c>
      <c r="F10" s="5">
        <v>99.5</v>
      </c>
      <c r="G10" s="22" t="s">
        <v>119</v>
      </c>
    </row>
    <row r="11" spans="1:7" x14ac:dyDescent="0.25">
      <c r="A11" s="25" t="s">
        <v>8</v>
      </c>
      <c r="B11" s="25" t="s">
        <v>100</v>
      </c>
      <c r="C11" s="26">
        <v>22</v>
      </c>
      <c r="D11" s="26">
        <v>45</v>
      </c>
      <c r="E11" s="26">
        <v>30</v>
      </c>
      <c r="F11" s="26">
        <v>65</v>
      </c>
      <c r="G11" s="27" t="s">
        <v>121</v>
      </c>
    </row>
    <row r="12" spans="1:7" x14ac:dyDescent="0.25">
      <c r="A12" s="25" t="s">
        <v>11</v>
      </c>
      <c r="B12" s="25" t="s">
        <v>100</v>
      </c>
      <c r="C12" s="26">
        <v>20</v>
      </c>
      <c r="D12" s="26">
        <v>48</v>
      </c>
      <c r="E12" s="26">
        <v>28</v>
      </c>
      <c r="F12" s="26">
        <v>62</v>
      </c>
      <c r="G12" s="27" t="s">
        <v>121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Despliegue_Zonas</vt:lpstr>
      <vt:lpstr>Dim_Zonas</vt:lpstr>
      <vt:lpstr>Dim_Geografia</vt:lpstr>
      <vt:lpstr>Dim_Socioeconomica</vt:lpstr>
      <vt:lpstr>Dim_Protocolos</vt:lpstr>
      <vt:lpstr>Dim_Escenarios</vt:lpstr>
      <vt:lpstr>Tabla_KPIs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Marcela Sanabria Rivera</cp:lastModifiedBy>
  <dcterms:created xsi:type="dcterms:W3CDTF">2026-03-27T00:13:54Z</dcterms:created>
  <dcterms:modified xsi:type="dcterms:W3CDTF">2026-04-24T18:03:41Z</dcterms:modified>
</cp:coreProperties>
</file>